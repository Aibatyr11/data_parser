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182C\EXCELCNV\190dbb97-9632-4851-a1e7-ad5760791128\"/>
    </mc:Choice>
  </mc:AlternateContent>
  <xr:revisionPtr revIDLastSave="0" documentId="8_{72878D1D-1A4B-4A5E-9503-84B726CBB6CF}" xr6:coauthVersionLast="47" xr6:coauthVersionMax="47" xr10:uidLastSave="{00000000-0000-0000-0000-000000000000}"/>
  <bookViews>
    <workbookView xWindow="-60" yWindow="-60" windowWidth="15480" windowHeight="11640" xr2:uid="{927AE93C-E28D-4251-AAAD-F4C595141A0F}"/>
  </bookViews>
  <sheets>
    <sheet name="зем.фонд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10" i="1"/>
  <c r="E10" i="1"/>
  <c r="F10" i="1"/>
  <c r="G10" i="1"/>
  <c r="C10" i="1"/>
  <c r="G6" i="1"/>
  <c r="D16" i="1"/>
  <c r="C16" i="1"/>
  <c r="E16" i="1"/>
  <c r="H6" i="1"/>
  <c r="F16" i="1"/>
  <c r="G12" i="1"/>
  <c r="H11" i="1"/>
  <c r="G7" i="1"/>
  <c r="G9" i="1"/>
  <c r="G11" i="1"/>
  <c r="G13" i="1"/>
  <c r="G15" i="1"/>
  <c r="H7" i="1"/>
  <c r="H9" i="1"/>
  <c r="H13" i="1"/>
  <c r="H15" i="1"/>
  <c r="H10" i="1"/>
</calcChain>
</file>

<file path=xl/sharedStrings.xml><?xml version="1.0" encoding="utf-8"?>
<sst xmlns="http://schemas.openxmlformats.org/spreadsheetml/2006/main" count="22" uniqueCount="22">
  <si>
    <t>Динамика земельного фонда по категориям земель (по годам)</t>
  </si>
  <si>
    <t>Наименование категорий земель</t>
  </si>
  <si>
    <t>1999 г.</t>
  </si>
  <si>
    <t>2020 г.</t>
  </si>
  <si>
    <t>2021 г.</t>
  </si>
  <si>
    <t>2022 г.</t>
  </si>
  <si>
    <t>2023 г.</t>
  </si>
  <si>
    <t>Изменения (+,-)</t>
  </si>
  <si>
    <t>2023 г. к 1999 г.</t>
  </si>
  <si>
    <t>2023 г. к 2022 г.</t>
  </si>
  <si>
    <t>1. Земли сельскохозяйственного назначения</t>
  </si>
  <si>
    <t>2. Земли населенных пунктов</t>
  </si>
  <si>
    <t>в том числе:</t>
  </si>
  <si>
    <t>городов и поселков</t>
  </si>
  <si>
    <t>сельских населенных пунктов</t>
  </si>
  <si>
    <t>3. Земли промышленности, транспорта, связи,обороны и иного несельскохозяйственного назначения</t>
  </si>
  <si>
    <t>4. Земли особо охраняемых природных территорий, земли оздоровительного, рекриационного и историко-культурного назначения</t>
  </si>
  <si>
    <t>5. Земли лесного фонда</t>
  </si>
  <si>
    <t>6.Земли водного фонда</t>
  </si>
  <si>
    <t>7. Земли запаса</t>
  </si>
  <si>
    <t>Итого земель</t>
  </si>
  <si>
    <t xml:space="preserve">в т.ч.земли, находящиеся на территории Павлодарской области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</si>
</sst>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0"/>
      <name val="Arial"/>
    </font>
    <font>
      <sz val="12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AA9A-8B82-41AA-8249-F885936880A8}">
  <sheetPr>
    <tabColor rgb="FFFFFF00"/>
  </sheetPr>
  <dimension ref="A2:H18"/>
  <sheetViews>
    <sheetView tabSelected="1" view="pageBreakPreview" zoomScale="75" zoomScaleNormal="75" zoomScaleSheetLayoutView="75" workbookViewId="0">
      <selection activeCell="B12" sqref="B12"/>
    </sheetView>
  </sheetViews>
  <sheetFormatPr defaultRowHeight="12.75"/>
  <cols>
    <col min="1" max="1" width="48" customWidth="1"/>
    <col min="2" max="2" width="9.85546875" customWidth="1"/>
    <col min="3" max="6" width="11.42578125" customWidth="1"/>
    <col min="7" max="7" width="12.7109375" customWidth="1"/>
    <col min="8" max="8" width="11.42578125" customWidth="1"/>
  </cols>
  <sheetData>
    <row r="2" spans="1:8" ht="15.75">
      <c r="A2" s="13" t="s">
        <v>0</v>
      </c>
      <c r="B2" s="13"/>
      <c r="C2" s="13"/>
      <c r="D2" s="13"/>
      <c r="E2" s="13"/>
      <c r="F2" s="13"/>
      <c r="G2" s="13"/>
      <c r="H2" s="13"/>
    </row>
    <row r="3" spans="1:8" ht="15.75">
      <c r="A3" s="2"/>
      <c r="B3" s="2"/>
      <c r="C3" s="2"/>
      <c r="D3" s="2"/>
      <c r="E3" s="2"/>
      <c r="F3" s="2"/>
      <c r="G3" s="2"/>
      <c r="H3" s="2"/>
    </row>
    <row r="4" spans="1:8" ht="27" customHeight="1">
      <c r="A4" s="14" t="s">
        <v>1</v>
      </c>
      <c r="B4" s="15" t="s">
        <v>2</v>
      </c>
      <c r="C4" s="15" t="s">
        <v>3</v>
      </c>
      <c r="D4" s="14" t="s">
        <v>4</v>
      </c>
      <c r="E4" s="15" t="s">
        <v>5</v>
      </c>
      <c r="F4" s="14" t="s">
        <v>6</v>
      </c>
      <c r="G4" s="14" t="s">
        <v>7</v>
      </c>
      <c r="H4" s="14"/>
    </row>
    <row r="5" spans="1:8" ht="33" customHeight="1">
      <c r="A5" s="14"/>
      <c r="B5" s="16"/>
      <c r="C5" s="16"/>
      <c r="D5" s="14"/>
      <c r="E5" s="16"/>
      <c r="F5" s="14"/>
      <c r="G5" s="3" t="s">
        <v>8</v>
      </c>
      <c r="H5" s="3" t="s">
        <v>9</v>
      </c>
    </row>
    <row r="6" spans="1:8" ht="18" customHeight="1">
      <c r="A6" s="4" t="s">
        <v>10</v>
      </c>
      <c r="B6" s="6">
        <v>6069.7</v>
      </c>
      <c r="C6" s="6">
        <v>7342.3</v>
      </c>
      <c r="D6" s="6">
        <v>7287.5</v>
      </c>
      <c r="E6" s="6">
        <v>7271.2</v>
      </c>
      <c r="F6" s="6">
        <v>7232.5</v>
      </c>
      <c r="G6" s="7">
        <f>SUM(F6-B6)</f>
        <v>1162.8000000000002</v>
      </c>
      <c r="H6" s="6">
        <f>F6-E6</f>
        <v>-38.699999999999818</v>
      </c>
    </row>
    <row r="7" spans="1:8" ht="18" customHeight="1">
      <c r="A7" s="4" t="s">
        <v>11</v>
      </c>
      <c r="B7" s="6">
        <v>963.8</v>
      </c>
      <c r="C7" s="6">
        <v>1004.1</v>
      </c>
      <c r="D7" s="6">
        <v>1016.4</v>
      </c>
      <c r="E7" s="6">
        <v>1041.5</v>
      </c>
      <c r="F7" s="6">
        <v>1051.0999999999999</v>
      </c>
      <c r="G7" s="7">
        <f t="shared" ref="G7:G15" si="0">SUM(F7-B7)</f>
        <v>87.299999999999955</v>
      </c>
      <c r="H7" s="7">
        <f t="shared" ref="H7:H15" si="1">F7-E7</f>
        <v>9.5999999999999091</v>
      </c>
    </row>
    <row r="8" spans="1:8" ht="15.75">
      <c r="A8" s="4" t="s">
        <v>12</v>
      </c>
      <c r="B8" s="6"/>
      <c r="C8" s="6"/>
      <c r="D8" s="6"/>
      <c r="E8" s="6"/>
      <c r="F8" s="6"/>
      <c r="G8" s="7"/>
      <c r="H8" s="6"/>
    </row>
    <row r="9" spans="1:8" s="11" customFormat="1" ht="18" customHeight="1">
      <c r="A9" s="4" t="s">
        <v>13</v>
      </c>
      <c r="B9" s="6">
        <v>40</v>
      </c>
      <c r="C9" s="7">
        <v>37.200000000000003</v>
      </c>
      <c r="D9" s="7">
        <v>37.200000000000003</v>
      </c>
      <c r="E9" s="7">
        <v>37.200000000000003</v>
      </c>
      <c r="F9" s="7">
        <v>37.200000000000003</v>
      </c>
      <c r="G9" s="7">
        <f t="shared" si="0"/>
        <v>-2.7999999999999972</v>
      </c>
      <c r="H9" s="6">
        <f t="shared" si="1"/>
        <v>0</v>
      </c>
    </row>
    <row r="10" spans="1:8" s="11" customFormat="1" ht="18" customHeight="1">
      <c r="A10" s="4" t="s">
        <v>14</v>
      </c>
      <c r="B10" s="7">
        <f>SUM(B7-B9)</f>
        <v>923.8</v>
      </c>
      <c r="C10" s="7">
        <f>SUM(C7-C9)</f>
        <v>966.9</v>
      </c>
      <c r="D10" s="7">
        <f>SUM(D7-D9)</f>
        <v>979.19999999999993</v>
      </c>
      <c r="E10" s="7">
        <f>SUM(E7-E9)</f>
        <v>1004.3</v>
      </c>
      <c r="F10" s="7">
        <f>SUM(F7-F9)</f>
        <v>1013.8999999999999</v>
      </c>
      <c r="G10" s="7">
        <f t="shared" si="0"/>
        <v>90.099999999999909</v>
      </c>
      <c r="H10" s="6">
        <f t="shared" si="1"/>
        <v>9.5999999999999091</v>
      </c>
    </row>
    <row r="11" spans="1:8" ht="47.25">
      <c r="A11" s="5" t="s">
        <v>15</v>
      </c>
      <c r="B11" s="8">
        <v>55.9</v>
      </c>
      <c r="C11" s="6">
        <v>65.3</v>
      </c>
      <c r="D11" s="6">
        <v>66.2</v>
      </c>
      <c r="E11" s="6">
        <v>66.599999999999994</v>
      </c>
      <c r="F11" s="6">
        <v>66.8</v>
      </c>
      <c r="G11" s="7">
        <f t="shared" si="0"/>
        <v>10.899999999999999</v>
      </c>
      <c r="H11" s="6">
        <f t="shared" si="1"/>
        <v>0.20000000000000284</v>
      </c>
    </row>
    <row r="12" spans="1:8" ht="63">
      <c r="A12" s="5" t="s">
        <v>16</v>
      </c>
      <c r="B12" s="8">
        <v>0.2</v>
      </c>
      <c r="C12" s="6">
        <v>134.9</v>
      </c>
      <c r="D12" s="6">
        <v>134.9</v>
      </c>
      <c r="E12" s="6">
        <v>134.9</v>
      </c>
      <c r="F12" s="6">
        <v>134.9</v>
      </c>
      <c r="G12" s="7">
        <f t="shared" si="0"/>
        <v>134.70000000000002</v>
      </c>
      <c r="H12" s="6"/>
    </row>
    <row r="13" spans="1:8" ht="18" customHeight="1">
      <c r="A13" s="4" t="s">
        <v>17</v>
      </c>
      <c r="B13" s="6">
        <v>680.5</v>
      </c>
      <c r="C13" s="6">
        <v>545.20000000000005</v>
      </c>
      <c r="D13" s="6">
        <v>545.20000000000005</v>
      </c>
      <c r="E13" s="6">
        <v>545.20000000000005</v>
      </c>
      <c r="F13" s="6">
        <v>545.1</v>
      </c>
      <c r="G13" s="7">
        <f t="shared" si="0"/>
        <v>-135.39999999999998</v>
      </c>
      <c r="H13" s="6">
        <f t="shared" si="1"/>
        <v>-0.10000000000002274</v>
      </c>
    </row>
    <row r="14" spans="1:8" ht="18" customHeight="1">
      <c r="A14" s="4" t="s">
        <v>18</v>
      </c>
      <c r="B14" s="6">
        <v>142.4</v>
      </c>
      <c r="C14" s="6">
        <v>142.4</v>
      </c>
      <c r="D14" s="6">
        <v>142.4</v>
      </c>
      <c r="E14" s="6">
        <v>142.4</v>
      </c>
      <c r="F14" s="6">
        <v>142.4</v>
      </c>
      <c r="G14" s="7"/>
      <c r="H14" s="6"/>
    </row>
    <row r="15" spans="1:8" ht="18" customHeight="1">
      <c r="A15" s="4" t="s">
        <v>19</v>
      </c>
      <c r="B15" s="6">
        <v>1891.8</v>
      </c>
      <c r="C15" s="6">
        <v>570.1</v>
      </c>
      <c r="D15" s="6">
        <v>611.70000000000005</v>
      </c>
      <c r="E15" s="6">
        <v>602.5</v>
      </c>
      <c r="F15" s="6">
        <v>631.5</v>
      </c>
      <c r="G15" s="7">
        <f t="shared" si="0"/>
        <v>-1260.3</v>
      </c>
      <c r="H15" s="6">
        <f t="shared" si="1"/>
        <v>29</v>
      </c>
    </row>
    <row r="16" spans="1:8" ht="18" customHeight="1">
      <c r="A16" s="10" t="s">
        <v>20</v>
      </c>
      <c r="B16" s="9">
        <v>9804.2999999999993</v>
      </c>
      <c r="C16" s="9">
        <f>SUM(C6,C7,C11,C12,C13,C14,C15)</f>
        <v>9804.2999999999993</v>
      </c>
      <c r="D16" s="9">
        <f>SUM(D6,D7,D11,D12,D13,D14,D15)</f>
        <v>9804.3000000000011</v>
      </c>
      <c r="E16" s="9">
        <f>SUM(E6,E7,E11,E12,E13,E14,E15)</f>
        <v>9804.3000000000011</v>
      </c>
      <c r="F16" s="9">
        <f>SUM(F6,F7,F11,F12,F13,F14,F15)</f>
        <v>9804.2999999999993</v>
      </c>
      <c r="G16" s="9">
        <v>9804.2999999999993</v>
      </c>
      <c r="H16" s="9">
        <v>9804.2999999999993</v>
      </c>
    </row>
    <row r="17" spans="1:8" ht="34.5" customHeight="1">
      <c r="A17" s="12" t="s">
        <v>21</v>
      </c>
      <c r="B17" s="10"/>
      <c r="C17" s="9">
        <v>5</v>
      </c>
      <c r="D17" s="9">
        <v>5</v>
      </c>
      <c r="E17" s="9">
        <v>5</v>
      </c>
      <c r="F17" s="9">
        <v>5</v>
      </c>
      <c r="G17" s="9">
        <v>5</v>
      </c>
      <c r="H17" s="9">
        <v>5</v>
      </c>
    </row>
    <row r="18" spans="1:8" ht="15">
      <c r="A18" s="1"/>
      <c r="B18" s="1"/>
      <c r="C18" s="1"/>
      <c r="D18" s="1"/>
      <c r="E18" s="1"/>
      <c r="F18" s="1"/>
      <c r="G18" s="1"/>
      <c r="H18" s="1"/>
    </row>
  </sheetData>
  <mergeCells count="8">
    <mergeCell ref="A2:H2"/>
    <mergeCell ref="G4:H4"/>
    <mergeCell ref="D4:D5"/>
    <mergeCell ref="A4:A5"/>
    <mergeCell ref="C4:C5"/>
    <mergeCell ref="E4:E5"/>
    <mergeCell ref="F4:F5"/>
    <mergeCell ref="B4:B5"/>
  </mergeCells>
  <phoneticPr fontId="0" type="noConversion"/>
  <pageMargins left="0.98425196850393704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B0EAE2B6EC67049AB60583FF5F2D772" ma:contentTypeVersion="11" ma:contentTypeDescription="Создание документа." ma:contentTypeScope="" ma:versionID="5061832b9d7dc8fa49505be397feeb3e">
  <xsd:schema xmlns:xsd="http://www.w3.org/2001/XMLSchema" xmlns:xs="http://www.w3.org/2001/XMLSchema" xmlns:p="http://schemas.microsoft.com/office/2006/metadata/properties" xmlns:ns2="ba1a8496-9714-42c0-b31a-d45e62ac6149" xmlns:ns3="8940d27c-90f8-425e-9d2e-de1b6b28a716" targetNamespace="http://schemas.microsoft.com/office/2006/metadata/properties" ma:root="true" ma:fieldsID="4ffb26a75a5fdc23401f0cd935b8d213" ns2:_="" ns3:_="">
    <xsd:import namespace="ba1a8496-9714-42c0-b31a-d45e62ac6149"/>
    <xsd:import namespace="8940d27c-90f8-425e-9d2e-de1b6b28a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a8496-9714-42c0-b31a-d45e62ac6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6fa9ee83-26df-4509-8591-4dfe27a6f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0d27c-90f8-425e-9d2e-de1b6b28a7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ac4173-542f-4282-b9f7-b8b028b3e115}" ma:internalName="TaxCatchAll" ma:showField="CatchAllData" ma:web="8940d27c-90f8-425e-9d2e-de1b6b28a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F84177-B1FE-498E-AE4E-00C9FD684316}"/>
</file>

<file path=customXml/itemProps2.xml><?xml version="1.0" encoding="utf-8"?>
<ds:datastoreItem xmlns:ds="http://schemas.openxmlformats.org/officeDocument/2006/customXml" ds:itemID="{753034DF-FFEC-4291-A63D-1A03FD4D2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X</cp:lastModifiedBy>
  <cp:revision/>
  <dcterms:created xsi:type="dcterms:W3CDTF">1996-10-08T23:32:33Z</dcterms:created>
  <dcterms:modified xsi:type="dcterms:W3CDTF">2025-01-12T16:30:07Z</dcterms:modified>
  <cp:category/>
  <cp:contentStatus/>
</cp:coreProperties>
</file>